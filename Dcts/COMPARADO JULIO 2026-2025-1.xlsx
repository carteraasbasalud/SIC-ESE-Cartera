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opia Hector Fabio\BDME\ADMINISTRACION\AÑO 2026\AUDIOTIORIA CONTROL INTERNO 2026 SEPTIMBRE\"/>
    </mc:Choice>
  </mc:AlternateContent>
  <bookViews>
    <workbookView xWindow="0" yWindow="0" windowWidth="20490" windowHeight="7755"/>
  </bookViews>
  <sheets>
    <sheet name="Hoja1" sheetId="1" r:id="rId1"/>
  </sheets>
  <externalReferences>
    <externalReference r:id="rId2"/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D19" i="1"/>
  <c r="I19" i="1" s="1"/>
  <c r="G18" i="1"/>
  <c r="D18" i="1"/>
  <c r="G17" i="1"/>
  <c r="D17" i="1"/>
  <c r="G16" i="1"/>
  <c r="D16" i="1"/>
  <c r="G15" i="1"/>
  <c r="D15" i="1"/>
  <c r="G14" i="1"/>
  <c r="D14" i="1"/>
  <c r="D13" i="1"/>
  <c r="D11" i="1"/>
  <c r="D10" i="1"/>
  <c r="G9" i="1"/>
  <c r="D9" i="1"/>
  <c r="G8" i="1"/>
  <c r="D8" i="1"/>
  <c r="G7" i="1"/>
  <c r="D7" i="1"/>
  <c r="J6" i="1"/>
  <c r="G6" i="1"/>
  <c r="D6" i="1"/>
  <c r="I9" i="1" l="1"/>
  <c r="E15" i="1"/>
  <c r="E17" i="1"/>
  <c r="G4" i="1"/>
  <c r="H12" i="1" s="1"/>
  <c r="D4" i="1"/>
  <c r="E18" i="1" s="1"/>
  <c r="I6" i="1"/>
  <c r="I14" i="1"/>
  <c r="E12" i="1"/>
  <c r="E19" i="1"/>
  <c r="E14" i="1"/>
  <c r="E6" i="1"/>
  <c r="E13" i="1"/>
  <c r="I15" i="1"/>
  <c r="H16" i="1"/>
  <c r="I7" i="1"/>
  <c r="I17" i="1"/>
  <c r="E7" i="1"/>
  <c r="I8" i="1"/>
  <c r="H13" i="1"/>
  <c r="I18" i="1"/>
  <c r="E10" i="1" l="1"/>
  <c r="E9" i="1"/>
  <c r="E16" i="1"/>
  <c r="H14" i="1"/>
  <c r="H10" i="1"/>
  <c r="H11" i="1"/>
  <c r="H19" i="1"/>
  <c r="H7" i="1"/>
  <c r="H15" i="1"/>
  <c r="H17" i="1"/>
  <c r="H9" i="1"/>
  <c r="H8" i="1"/>
  <c r="E8" i="1"/>
  <c r="E11" i="1"/>
  <c r="H18" i="1"/>
  <c r="H6" i="1"/>
  <c r="H5" i="1" l="1"/>
  <c r="E5" i="1"/>
</calcChain>
</file>

<file path=xl/comments1.xml><?xml version="1.0" encoding="utf-8"?>
<comments xmlns="http://schemas.openxmlformats.org/spreadsheetml/2006/main">
  <authors>
    <author>HECTOR FABIO RAMIREZ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HECTOR FABIO RAMIREZ:</t>
        </r>
        <r>
          <rPr>
            <sz val="9"/>
            <color indexed="81"/>
            <rFont val="Tahoma"/>
            <family val="2"/>
          </rPr>
          <t xml:space="preserve">
SE INCLUYE LA CUENTA 131916 PARTICULARES  L A131908-LA 131909, IPS PRIVADAS</t>
        </r>
      </text>
    </comment>
  </commentList>
</comments>
</file>

<file path=xl/sharedStrings.xml><?xml version="1.0" encoding="utf-8"?>
<sst xmlns="http://schemas.openxmlformats.org/spreadsheetml/2006/main" count="19" uniqueCount="19">
  <si>
    <t>CONCEPTO</t>
  </si>
  <si>
    <t>PARTICIPACION JULIO 2026</t>
  </si>
  <si>
    <t>PARTICIPACION JULIO 2025</t>
  </si>
  <si>
    <t>VARIACION 2026 2025</t>
  </si>
  <si>
    <t xml:space="preserve">CONTRIBUTIVO </t>
  </si>
  <si>
    <t xml:space="preserve">SUBSIDIADO </t>
  </si>
  <si>
    <t>IPS PRIVADAS</t>
  </si>
  <si>
    <t xml:space="preserve">IPS PUBLICAS </t>
  </si>
  <si>
    <t xml:space="preserve">PPNA </t>
  </si>
  <si>
    <t xml:space="preserve">ARL </t>
  </si>
  <si>
    <t>SOAT</t>
  </si>
  <si>
    <t>ECAT</t>
  </si>
  <si>
    <t>ACCIONESD E SALUD PUBLICA</t>
  </si>
  <si>
    <t>CONVENIO INTERADMINSITRATIVO</t>
  </si>
  <si>
    <t>ENTIDADES REGIMEN ESPECIAL</t>
  </si>
  <si>
    <t>GIRO PARA ABONO SIN IDENTIFICAR</t>
  </si>
  <si>
    <t>OTRAS CUENTAS DIFERENTES A SALUD</t>
  </si>
  <si>
    <t>DEUDAS DIFICIL COBRO</t>
  </si>
  <si>
    <t>ASSBASALUD ESE COMPARADO ESTADO DE DEUDA  JULIO  2026-2025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</si>
</sst>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  <numFmt numFmtId="166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5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2"/>
    <xf numFmtId="4" fontId="3" fillId="0" borderId="0" xfId="2" applyNumberFormat="1"/>
    <xf numFmtId="0" fontId="4" fillId="0" borderId="0" xfId="2" applyFont="1"/>
    <xf numFmtId="0" fontId="5" fillId="0" borderId="4" xfId="2" applyFont="1" applyFill="1" applyBorder="1"/>
    <xf numFmtId="164" fontId="5" fillId="0" borderId="5" xfId="2" applyNumberFormat="1" applyFont="1" applyFill="1" applyBorder="1"/>
    <xf numFmtId="0" fontId="6" fillId="0" borderId="5" xfId="2" applyFont="1" applyFill="1" applyBorder="1" applyAlignment="1">
      <alignment wrapText="1"/>
    </xf>
    <xf numFmtId="0" fontId="5" fillId="0" borderId="5" xfId="2" applyFont="1" applyFill="1" applyBorder="1"/>
    <xf numFmtId="4" fontId="7" fillId="0" borderId="5" xfId="2" applyNumberFormat="1" applyFont="1" applyFill="1" applyBorder="1" applyAlignment="1">
      <alignment wrapText="1"/>
    </xf>
    <xf numFmtId="0" fontId="8" fillId="0" borderId="6" xfId="0" applyFont="1" applyFill="1" applyBorder="1" applyAlignment="1">
      <alignment wrapText="1"/>
    </xf>
    <xf numFmtId="164" fontId="0" fillId="0" borderId="0" xfId="0" applyNumberFormat="1"/>
    <xf numFmtId="0" fontId="5" fillId="0" borderId="7" xfId="2" applyFont="1" applyBorder="1" applyAlignment="1">
      <alignment wrapText="1"/>
    </xf>
    <xf numFmtId="0" fontId="5" fillId="0" borderId="8" xfId="2" applyFont="1" applyBorder="1"/>
    <xf numFmtId="164" fontId="5" fillId="0" borderId="8" xfId="3" applyNumberFormat="1" applyFont="1" applyBorder="1"/>
    <xf numFmtId="43" fontId="5" fillId="0" borderId="8" xfId="3" applyFont="1" applyBorder="1"/>
    <xf numFmtId="4" fontId="5" fillId="0" borderId="8" xfId="3" applyNumberFormat="1" applyFont="1" applyBorder="1"/>
    <xf numFmtId="0" fontId="9" fillId="0" borderId="9" xfId="0" applyFont="1" applyBorder="1"/>
    <xf numFmtId="165" fontId="0" fillId="0" borderId="0" xfId="0" applyNumberFormat="1"/>
    <xf numFmtId="4" fontId="4" fillId="0" borderId="11" xfId="3" applyNumberFormat="1" applyFont="1" applyBorder="1"/>
    <xf numFmtId="43" fontId="4" fillId="0" borderId="11" xfId="3" applyFont="1" applyBorder="1"/>
    <xf numFmtId="4" fontId="5" fillId="0" borderId="11" xfId="3" applyNumberFormat="1" applyFont="1" applyBorder="1"/>
    <xf numFmtId="166" fontId="12" fillId="0" borderId="12" xfId="0" applyNumberFormat="1" applyFont="1" applyBorder="1"/>
    <xf numFmtId="43" fontId="0" fillId="0" borderId="0" xfId="1" applyFont="1"/>
    <xf numFmtId="164" fontId="3" fillId="0" borderId="11" xfId="2" applyNumberFormat="1" applyFont="1" applyFill="1" applyBorder="1"/>
    <xf numFmtId="0" fontId="10" fillId="0" borderId="13" xfId="2" applyFont="1" applyFill="1" applyBorder="1" applyAlignment="1">
      <alignment wrapText="1"/>
    </xf>
    <xf numFmtId="43" fontId="4" fillId="0" borderId="14" xfId="3" applyFont="1" applyBorder="1"/>
    <xf numFmtId="3" fontId="3" fillId="0" borderId="14" xfId="2" applyNumberFormat="1" applyFont="1" applyFill="1" applyBorder="1"/>
    <xf numFmtId="4" fontId="5" fillId="0" borderId="14" xfId="3" applyNumberFormat="1" applyFont="1" applyBorder="1"/>
    <xf numFmtId="43" fontId="3" fillId="0" borderId="0" xfId="2" applyNumberFormat="1"/>
    <xf numFmtId="164" fontId="3" fillId="0" borderId="0" xfId="2" applyNumberFormat="1"/>
    <xf numFmtId="3" fontId="3" fillId="0" borderId="0" xfId="2" applyNumberFormat="1"/>
    <xf numFmtId="3" fontId="0" fillId="0" borderId="0" xfId="0" applyNumberFormat="1"/>
    <xf numFmtId="4" fontId="0" fillId="0" borderId="0" xfId="0" applyNumberFormat="1"/>
    <xf numFmtId="4" fontId="11" fillId="2" borderId="11" xfId="1" applyNumberFormat="1" applyFont="1" applyFill="1" applyBorder="1"/>
    <xf numFmtId="164" fontId="3" fillId="2" borderId="11" xfId="2" applyNumberFormat="1" applyFont="1" applyFill="1" applyBorder="1"/>
    <xf numFmtId="164" fontId="3" fillId="2" borderId="11" xfId="3" applyNumberFormat="1" applyFont="1" applyFill="1" applyBorder="1"/>
    <xf numFmtId="3" fontId="3" fillId="2" borderId="14" xfId="2" applyNumberFormat="1" applyFont="1" applyFill="1" applyBorder="1"/>
    <xf numFmtId="0" fontId="5" fillId="0" borderId="10" xfId="2" applyFont="1" applyBorder="1" applyAlignment="1">
      <alignment wrapText="1"/>
    </xf>
    <xf numFmtId="0" fontId="5" fillId="0" borderId="10" xfId="2" applyFont="1" applyFill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</cellXfs>
  <cellStyles count="4">
    <cellStyle name="Millares" xfId="1" builtinId="3"/>
    <cellStyle name="Millares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LCE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LCE%20%20JULIO%202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ADO%20%20CARTERA%20JLIO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009"/>
    </sheetNames>
    <sheetDataSet>
      <sheetData sheetId="0">
        <row r="7">
          <cell r="H7">
            <v>35029440</v>
          </cell>
        </row>
        <row r="22">
          <cell r="H22">
            <v>481647902.73000002</v>
          </cell>
        </row>
        <row r="42">
          <cell r="H42">
            <v>135837090</v>
          </cell>
        </row>
        <row r="65">
          <cell r="H65">
            <v>3198970268.5799999</v>
          </cell>
        </row>
        <row r="90">
          <cell r="H90">
            <v>13305610</v>
          </cell>
        </row>
        <row r="93">
          <cell r="H93">
            <v>11342188</v>
          </cell>
        </row>
        <row r="99">
          <cell r="H99">
            <v>872603</v>
          </cell>
        </row>
        <row r="102">
          <cell r="H102">
            <v>15600</v>
          </cell>
        </row>
        <row r="104">
          <cell r="H104">
            <v>121722238</v>
          </cell>
        </row>
        <row r="113">
          <cell r="H113">
            <v>1115143231.05</v>
          </cell>
        </row>
        <row r="116">
          <cell r="H116">
            <v>346100</v>
          </cell>
        </row>
        <row r="118">
          <cell r="H118">
            <v>1592900</v>
          </cell>
        </row>
        <row r="122">
          <cell r="H122">
            <v>5846640</v>
          </cell>
        </row>
        <row r="126">
          <cell r="H126">
            <v>741161</v>
          </cell>
        </row>
        <row r="128">
          <cell r="H128">
            <v>-1110512487.98</v>
          </cell>
        </row>
        <row r="147">
          <cell r="H147">
            <v>988729</v>
          </cell>
        </row>
        <row r="156">
          <cell r="H156">
            <v>38107937.159999996</v>
          </cell>
        </row>
        <row r="188">
          <cell r="H188">
            <v>4100533585.4099998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009"/>
    </sheetNames>
    <sheetDataSet>
      <sheetData sheetId="0">
        <row r="9">
          <cell r="H9">
            <v>149055520.66999999</v>
          </cell>
        </row>
        <row r="26">
          <cell r="H26">
            <v>0</v>
          </cell>
        </row>
        <row r="29">
          <cell r="H29">
            <v>2108636328.1199999</v>
          </cell>
        </row>
        <row r="54">
          <cell r="H54">
            <v>15604920</v>
          </cell>
        </row>
        <row r="56">
          <cell r="H56">
            <v>10119507</v>
          </cell>
        </row>
        <row r="60">
          <cell r="H60">
            <v>957450.4</v>
          </cell>
        </row>
        <row r="64">
          <cell r="H64">
            <v>15600</v>
          </cell>
        </row>
        <row r="66">
          <cell r="H66">
            <v>24096731</v>
          </cell>
        </row>
        <row r="76">
          <cell r="H76">
            <v>383936857</v>
          </cell>
        </row>
        <row r="79">
          <cell r="H79">
            <v>-586201494.29999995</v>
          </cell>
        </row>
        <row r="98">
          <cell r="H98">
            <v>934000</v>
          </cell>
        </row>
        <row r="101">
          <cell r="H101">
            <v>30576472</v>
          </cell>
        </row>
        <row r="126">
          <cell r="H126">
            <v>3579100845.1599998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OMPA"/>
      <sheetName val="BLE 2023-2024"/>
      <sheetName val="Hoja1 (3)"/>
    </sheetNames>
    <sheetDataSet>
      <sheetData sheetId="0" refreshError="1"/>
      <sheetData sheetId="1">
        <row r="11">
          <cell r="I11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2"/>
  <sheetViews>
    <sheetView tabSelected="1" topLeftCell="B1" workbookViewId="0">
      <selection activeCell="J3" sqref="J3"/>
    </sheetView>
  </sheetViews>
  <sheetFormatPr baseColWidth="10" defaultRowHeight="15" x14ac:dyDescent="0.25"/>
  <cols>
    <col min="1" max="1" width="11.42578125" hidden="1" customWidth="1"/>
    <col min="3" max="3" width="15.28515625" customWidth="1"/>
    <col min="4" max="4" width="14.42578125" customWidth="1"/>
    <col min="5" max="5" width="11.5703125" customWidth="1"/>
    <col min="6" max="6" width="3.28515625" customWidth="1"/>
    <col min="7" max="7" width="13.5703125" customWidth="1"/>
    <col min="8" max="8" width="10.5703125" style="32" customWidth="1"/>
    <col min="9" max="9" width="11" customWidth="1"/>
    <col min="10" max="10" width="26.28515625" customWidth="1"/>
    <col min="11" max="11" width="21.5703125" customWidth="1"/>
  </cols>
  <sheetData>
    <row r="1" spans="3:11" x14ac:dyDescent="0.25">
      <c r="C1" s="1"/>
      <c r="D1" s="1"/>
      <c r="E1" s="1"/>
      <c r="F1" s="1"/>
      <c r="G1" s="1"/>
      <c r="H1" s="2"/>
    </row>
    <row r="2" spans="3:11" ht="15.75" thickBot="1" x14ac:dyDescent="0.3">
      <c r="C2" s="3"/>
      <c r="D2" s="1"/>
      <c r="E2" s="1"/>
      <c r="F2" s="1"/>
      <c r="G2" s="1"/>
      <c r="H2" s="2"/>
      <c r="I2" s="1"/>
    </row>
    <row r="3" spans="3:11" x14ac:dyDescent="0.25">
      <c r="C3" s="40" t="s">
        <v>18</v>
      </c>
      <c r="D3" s="41"/>
      <c r="E3" s="41"/>
      <c r="F3" s="41"/>
      <c r="G3" s="41"/>
      <c r="H3" s="41"/>
      <c r="I3" s="42"/>
    </row>
    <row r="4" spans="3:11" ht="24" thickBot="1" x14ac:dyDescent="0.3">
      <c r="C4" s="4" t="s">
        <v>0</v>
      </c>
      <c r="D4" s="5">
        <f>SUM(D6:D19)</f>
        <v>8151530735.9499989</v>
      </c>
      <c r="E4" s="6" t="s">
        <v>1</v>
      </c>
      <c r="F4" s="7"/>
      <c r="G4" s="5">
        <f>+G6+G7+G8+G9+G10+G11+G12+G13+G14+G15+G16+G17+G18+G19</f>
        <v>5716832737.0500002</v>
      </c>
      <c r="H4" s="8" t="s">
        <v>2</v>
      </c>
      <c r="I4" s="9" t="s">
        <v>3</v>
      </c>
      <c r="J4" s="10"/>
      <c r="K4" s="10"/>
    </row>
    <row r="5" spans="3:11" x14ac:dyDescent="0.25">
      <c r="C5" s="11"/>
      <c r="D5" s="12"/>
      <c r="E5" s="13">
        <f>SUM(E6:E19)</f>
        <v>100.00000000000001</v>
      </c>
      <c r="F5" s="14"/>
      <c r="G5" s="12"/>
      <c r="H5" s="15">
        <f>SUM(H6:H19)</f>
        <v>100</v>
      </c>
      <c r="I5" s="16"/>
      <c r="J5" s="17"/>
    </row>
    <row r="6" spans="3:11" x14ac:dyDescent="0.25">
      <c r="C6" s="37" t="s">
        <v>4</v>
      </c>
      <c r="D6" s="33">
        <f>+[1]repor009!$H$7+[1]repor009!$H$22</f>
        <v>516677342.73000002</v>
      </c>
      <c r="E6" s="18">
        <f>+D6/$D$4*100</f>
        <v>6.3384088150626985</v>
      </c>
      <c r="F6" s="19"/>
      <c r="G6" s="33">
        <f>+[2]repor009!$H$9+[2]repor009!$H$26</f>
        <v>149055520.66999999</v>
      </c>
      <c r="H6" s="20">
        <f>+G6/$G$4*100</f>
        <v>2.6073094583298166</v>
      </c>
      <c r="I6" s="21">
        <f>(+D6/G6)*100</f>
        <v>346.63415377541952</v>
      </c>
      <c r="J6" s="22">
        <f>+[3]COMPA!I11</f>
        <v>0</v>
      </c>
    </row>
    <row r="7" spans="3:11" x14ac:dyDescent="0.25">
      <c r="C7" s="37" t="s">
        <v>5</v>
      </c>
      <c r="D7" s="34">
        <f>+[1]repor009!$H$42+[1]repor009!$H$65</f>
        <v>3334807358.5799999</v>
      </c>
      <c r="E7" s="18">
        <f t="shared" ref="E7:E19" si="0">+D7/$D$4*100</f>
        <v>40.910197932184495</v>
      </c>
      <c r="F7" s="19"/>
      <c r="G7" s="34">
        <f>+[2]repor009!$H$26+[2]repor009!$H$29</f>
        <v>2108636328.1199999</v>
      </c>
      <c r="H7" s="20">
        <f t="shared" ref="H7:H19" si="1">+G7/$G$4*100</f>
        <v>36.884695164408434</v>
      </c>
      <c r="I7" s="21">
        <f t="shared" ref="I7:I19" si="2">(+D7/G7-1)*100</f>
        <v>58.149952844320921</v>
      </c>
      <c r="J7" s="22"/>
    </row>
    <row r="8" spans="3:11" x14ac:dyDescent="0.25">
      <c r="C8" s="38" t="s">
        <v>6</v>
      </c>
      <c r="D8" s="34">
        <f>+[1]repor009!$H$90+[1]repor009!$H$93+[1]repor009!$H$104</f>
        <v>146370036</v>
      </c>
      <c r="E8" s="18">
        <f t="shared" si="0"/>
        <v>1.7956141090712783</v>
      </c>
      <c r="F8" s="19"/>
      <c r="G8" s="34">
        <f>+[2]repor009!$H$54+[2]repor009!$H$56+[2]repor009!$H$66</f>
        <v>49821158</v>
      </c>
      <c r="H8" s="20">
        <f t="shared" si="1"/>
        <v>0.87148182029388388</v>
      </c>
      <c r="I8" s="21">
        <f t="shared" si="2"/>
        <v>193.79091509675467</v>
      </c>
    </row>
    <row r="9" spans="3:11" x14ac:dyDescent="0.25">
      <c r="C9" s="38" t="s">
        <v>7</v>
      </c>
      <c r="D9" s="34">
        <f>+[1]repor009!$H$99</f>
        <v>872603</v>
      </c>
      <c r="E9" s="18">
        <f t="shared" si="0"/>
        <v>1.0704774701414467E-2</v>
      </c>
      <c r="F9" s="19"/>
      <c r="G9" s="34">
        <f>+[2]repor009!$H$60</f>
        <v>957450.4</v>
      </c>
      <c r="H9" s="20">
        <f t="shared" si="1"/>
        <v>1.6747916967989929E-2</v>
      </c>
      <c r="I9" s="21">
        <f t="shared" si="2"/>
        <v>-8.8618063139354284</v>
      </c>
    </row>
    <row r="10" spans="3:11" x14ac:dyDescent="0.25">
      <c r="C10" s="38" t="s">
        <v>8</v>
      </c>
      <c r="D10" s="34">
        <f>+[1]repor009!$H$116+[1]repor009!$H$118</f>
        <v>1939000</v>
      </c>
      <c r="E10" s="18">
        <f t="shared" si="0"/>
        <v>2.378694337063092E-2</v>
      </c>
      <c r="F10" s="19"/>
      <c r="G10" s="34">
        <v>0</v>
      </c>
      <c r="H10" s="20">
        <f t="shared" si="1"/>
        <v>0</v>
      </c>
      <c r="I10" s="21">
        <v>100</v>
      </c>
    </row>
    <row r="11" spans="3:11" x14ac:dyDescent="0.25">
      <c r="C11" s="38" t="s">
        <v>9</v>
      </c>
      <c r="D11" s="33">
        <f>+[1]repor009!$H$122</f>
        <v>5846640</v>
      </c>
      <c r="E11" s="18">
        <f t="shared" si="0"/>
        <v>7.172444279962123E-2</v>
      </c>
      <c r="F11" s="19"/>
      <c r="G11" s="33"/>
      <c r="H11" s="20">
        <f t="shared" si="1"/>
        <v>0</v>
      </c>
      <c r="I11" s="21"/>
    </row>
    <row r="12" spans="3:11" x14ac:dyDescent="0.25">
      <c r="C12" s="38" t="s">
        <v>10</v>
      </c>
      <c r="D12" s="34"/>
      <c r="E12" s="18">
        <f t="shared" si="0"/>
        <v>0</v>
      </c>
      <c r="F12" s="19"/>
      <c r="G12" s="34"/>
      <c r="H12" s="20">
        <f t="shared" si="1"/>
        <v>0</v>
      </c>
      <c r="I12" s="21"/>
    </row>
    <row r="13" spans="3:11" x14ac:dyDescent="0.25">
      <c r="C13" s="38" t="s">
        <v>11</v>
      </c>
      <c r="D13" s="34">
        <f>+[1]repor009!$H$126</f>
        <v>741161</v>
      </c>
      <c r="E13" s="18">
        <f t="shared" si="0"/>
        <v>9.0922922823724502E-3</v>
      </c>
      <c r="F13" s="19"/>
      <c r="G13" s="34">
        <v>0</v>
      </c>
      <c r="H13" s="20">
        <f t="shared" si="1"/>
        <v>0</v>
      </c>
      <c r="I13" s="21">
        <v>100</v>
      </c>
    </row>
    <row r="14" spans="3:11" ht="23.25" x14ac:dyDescent="0.25">
      <c r="C14" s="38" t="s">
        <v>12</v>
      </c>
      <c r="D14" s="34">
        <f>+[1]repor009!$H$113</f>
        <v>1115143231.05</v>
      </c>
      <c r="E14" s="18">
        <f t="shared" si="0"/>
        <v>13.680169616879184</v>
      </c>
      <c r="F14" s="19"/>
      <c r="G14" s="34">
        <f>+[2]repor009!$H$76</f>
        <v>383936857</v>
      </c>
      <c r="H14" s="20">
        <f t="shared" si="1"/>
        <v>6.7159015255380563</v>
      </c>
      <c r="I14" s="21">
        <f t="shared" si="2"/>
        <v>190.44964314275248</v>
      </c>
    </row>
    <row r="15" spans="3:11" ht="34.5" x14ac:dyDescent="0.25">
      <c r="C15" s="38" t="s">
        <v>13</v>
      </c>
      <c r="D15" s="34">
        <f>+[1]repor009!$H$147</f>
        <v>988729</v>
      </c>
      <c r="E15" s="18">
        <f t="shared" si="0"/>
        <v>1.2129366029861031E-2</v>
      </c>
      <c r="F15" s="19"/>
      <c r="G15" s="34">
        <f>+[2]repor009!$H$98</f>
        <v>934000</v>
      </c>
      <c r="H15" s="20">
        <f t="shared" si="1"/>
        <v>1.6337717805645694E-2</v>
      </c>
      <c r="I15" s="21">
        <f t="shared" si="2"/>
        <v>5.8596359743040782</v>
      </c>
    </row>
    <row r="16" spans="3:11" ht="34.5" x14ac:dyDescent="0.25">
      <c r="C16" s="38" t="s">
        <v>14</v>
      </c>
      <c r="D16" s="35">
        <f>+[1]repor009!$H$102</f>
        <v>15600</v>
      </c>
      <c r="E16" s="18">
        <f t="shared" si="0"/>
        <v>1.9137509880445711E-4</v>
      </c>
      <c r="F16" s="19"/>
      <c r="G16" s="35">
        <f>+[2]repor009!$H$64</f>
        <v>15600</v>
      </c>
      <c r="H16" s="20">
        <f t="shared" si="1"/>
        <v>2.7287837020136278E-4</v>
      </c>
      <c r="I16" s="21">
        <v>100</v>
      </c>
    </row>
    <row r="17" spans="3:9" ht="45" x14ac:dyDescent="0.25">
      <c r="C17" s="39" t="s">
        <v>15</v>
      </c>
      <c r="D17" s="35">
        <f>+[1]repor009!$H$128</f>
        <v>-1110512487.98</v>
      </c>
      <c r="E17" s="18">
        <f t="shared" si="0"/>
        <v>-13.623361353253587</v>
      </c>
      <c r="F17" s="19"/>
      <c r="G17" s="35">
        <f>+[2]repor009!$H$79</f>
        <v>-586201494.29999995</v>
      </c>
      <c r="H17" s="20">
        <f t="shared" si="1"/>
        <v>-10.253955665012015</v>
      </c>
      <c r="I17" s="21">
        <f t="shared" si="2"/>
        <v>89.442111420424624</v>
      </c>
    </row>
    <row r="18" spans="3:9" ht="34.5" x14ac:dyDescent="0.25">
      <c r="C18" s="38" t="s">
        <v>16</v>
      </c>
      <c r="D18" s="34">
        <f>+[1]repor009!$H$156</f>
        <v>38107937.159999996</v>
      </c>
      <c r="E18" s="18">
        <f t="shared" si="0"/>
        <v>0.4674942461044258</v>
      </c>
      <c r="F18" s="19"/>
      <c r="G18" s="23">
        <f>+[2]repor009!$H$101</f>
        <v>30576472</v>
      </c>
      <c r="H18" s="20">
        <f t="shared" si="1"/>
        <v>0.53484986191458994</v>
      </c>
      <c r="I18" s="21">
        <f t="shared" si="2"/>
        <v>24.631570182459228</v>
      </c>
    </row>
    <row r="19" spans="3:9" ht="24" thickBot="1" x14ac:dyDescent="0.3">
      <c r="C19" s="24" t="s">
        <v>17</v>
      </c>
      <c r="D19" s="36">
        <f>+[1]repor009!$H$188</f>
        <v>4100533585.4099998</v>
      </c>
      <c r="E19" s="18">
        <f t="shared" si="0"/>
        <v>50.303847439668814</v>
      </c>
      <c r="F19" s="25"/>
      <c r="G19" s="26">
        <f>+[2]repor009!$H$126</f>
        <v>3579100845.1599998</v>
      </c>
      <c r="H19" s="27">
        <f t="shared" si="1"/>
        <v>62.606359321383387</v>
      </c>
      <c r="I19" s="21">
        <f t="shared" si="2"/>
        <v>14.568819455174919</v>
      </c>
    </row>
    <row r="20" spans="3:9" x14ac:dyDescent="0.25">
      <c r="C20" s="1"/>
      <c r="D20" s="2"/>
      <c r="E20" s="28"/>
      <c r="F20" s="1"/>
      <c r="G20" s="29"/>
      <c r="H20" s="2"/>
    </row>
    <row r="21" spans="3:9" x14ac:dyDescent="0.25">
      <c r="C21" s="1"/>
      <c r="D21" s="30"/>
      <c r="E21" s="1"/>
      <c r="F21" s="1"/>
      <c r="G21" s="29"/>
      <c r="H21" s="2"/>
    </row>
    <row r="22" spans="3:9" x14ac:dyDescent="0.25">
      <c r="G22" s="31"/>
    </row>
  </sheetData>
  <mergeCells count="1">
    <mergeCell ref="C3:I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ASSBASALUD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FABIO RAMIREZ</dc:creator>
  <cp:lastModifiedBy>HECTOR FABIO RAMIREZ</cp:lastModifiedBy>
  <dcterms:created xsi:type="dcterms:W3CDTF">2026-10-07T16:57:58Z</dcterms:created>
  <dcterms:modified xsi:type="dcterms:W3CDTF">2026-10-07T17:17:40Z</dcterms:modified>
</cp:coreProperties>
</file>